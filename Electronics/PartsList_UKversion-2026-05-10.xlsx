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370\Box\COLOURCODE_SHARED\Penn Anomaloscopes\"/>
    </mc:Choice>
  </mc:AlternateContent>
  <xr:revisionPtr revIDLastSave="0" documentId="13_ncr:1_{BE84306C-906C-4F20-9831-A35451E96E3A}" xr6:coauthVersionLast="47" xr6:coauthVersionMax="47" xr10:uidLastSave="{00000000-0000-0000-0000-000000000000}"/>
  <bookViews>
    <workbookView xWindow="-120" yWindow="-120" windowWidth="29040" windowHeight="15840" xr2:uid="{E8963F8D-8268-044F-A6EB-E1C2BE8B25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18" i="1" s="1"/>
  <c r="O15" i="1"/>
  <c r="O18" i="1" s="1"/>
  <c r="L18" i="1"/>
  <c r="M18" i="1"/>
  <c r="N18" i="1"/>
  <c r="Q18" i="1"/>
  <c r="R18" i="1"/>
  <c r="S18" i="1"/>
  <c r="T18" i="1"/>
  <c r="K18" i="1"/>
  <c r="K16" i="1"/>
  <c r="L16" i="1"/>
  <c r="M16" i="1"/>
  <c r="N16" i="1"/>
  <c r="O16" i="1"/>
  <c r="P16" i="1"/>
  <c r="Q16" i="1"/>
  <c r="R16" i="1"/>
  <c r="S16" i="1"/>
  <c r="T16" i="1"/>
  <c r="K3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I15" i="1"/>
  <c r="P3" i="1"/>
  <c r="Q3" i="1"/>
  <c r="R3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K4" i="1"/>
  <c r="L4" i="1"/>
  <c r="M4" i="1"/>
  <c r="N4" i="1"/>
  <c r="O4" i="1"/>
  <c r="K5" i="1"/>
  <c r="L5" i="1"/>
  <c r="M5" i="1"/>
  <c r="N5" i="1"/>
  <c r="O5" i="1"/>
  <c r="K6" i="1"/>
  <c r="L6" i="1"/>
  <c r="M6" i="1"/>
  <c r="N6" i="1"/>
  <c r="O6" i="1"/>
  <c r="K7" i="1"/>
  <c r="L7" i="1"/>
  <c r="M7" i="1"/>
  <c r="N7" i="1"/>
  <c r="O7" i="1"/>
  <c r="K8" i="1"/>
  <c r="L8" i="1"/>
  <c r="M8" i="1"/>
  <c r="N8" i="1"/>
  <c r="O8" i="1"/>
  <c r="K9" i="1"/>
  <c r="L9" i="1"/>
  <c r="M9" i="1"/>
  <c r="N9" i="1"/>
  <c r="O9" i="1"/>
  <c r="K10" i="1"/>
  <c r="L10" i="1"/>
  <c r="M10" i="1"/>
  <c r="N10" i="1"/>
  <c r="O10" i="1"/>
  <c r="K11" i="1"/>
  <c r="L11" i="1"/>
  <c r="M11" i="1"/>
  <c r="N11" i="1"/>
  <c r="O11" i="1"/>
  <c r="K12" i="1"/>
  <c r="L12" i="1"/>
  <c r="M12" i="1"/>
  <c r="N12" i="1"/>
  <c r="O12" i="1"/>
  <c r="K13" i="1"/>
  <c r="L13" i="1"/>
  <c r="M13" i="1"/>
  <c r="N13" i="1"/>
  <c r="O13" i="1"/>
  <c r="K14" i="1"/>
  <c r="L14" i="1"/>
  <c r="M14" i="1"/>
  <c r="N14" i="1"/>
  <c r="O14" i="1"/>
  <c r="L3" i="1"/>
  <c r="M3" i="1"/>
  <c r="N3" i="1"/>
  <c r="O3" i="1"/>
  <c r="O19" i="1" l="1"/>
  <c r="T15" i="1"/>
  <c r="T19" i="1" s="1"/>
  <c r="S15" i="1"/>
  <c r="S19" i="1" s="1"/>
  <c r="M15" i="1"/>
  <c r="M19" i="1" s="1"/>
  <c r="K15" i="1"/>
  <c r="Q15" i="1"/>
  <c r="Q19" i="1" s="1"/>
  <c r="P15" i="1"/>
  <c r="P19" i="1" s="1"/>
  <c r="N15" i="1"/>
  <c r="L15" i="1"/>
  <c r="R15" i="1"/>
  <c r="K19" i="1" l="1"/>
  <c r="N19" i="1"/>
  <c r="R19" i="1"/>
  <c r="L19" i="1"/>
</calcChain>
</file>

<file path=xl/sharedStrings.xml><?xml version="1.0" encoding="utf-8"?>
<sst xmlns="http://schemas.openxmlformats.org/spreadsheetml/2006/main" count="114" uniqueCount="94">
  <si>
    <t>Company</t>
  </si>
  <si>
    <t>UK Stockist</t>
  </si>
  <si>
    <t>Product</t>
  </si>
  <si>
    <t>UK link</t>
  </si>
  <si>
    <t>Notes</t>
  </si>
  <si>
    <t>Item</t>
  </si>
  <si>
    <t>Items in pack</t>
  </si>
  <si>
    <t>Packs per anomaloscope</t>
  </si>
  <si>
    <t>Adafruit</t>
  </si>
  <si>
    <t>thepihut.com</t>
  </si>
  <si>
    <t>Diffused RGB (tri-color) 10mm LED (10 / order)</t>
  </si>
  <si>
    <t>ADA848</t>
  </si>
  <si>
    <t>https://thepihut.com/products/diffused-rgb-tri-color-10mm-led-10-pack</t>
  </si>
  <si>
    <t>appears to be same product</t>
  </si>
  <si>
    <t>RGB LED</t>
  </si>
  <si>
    <t>Diffused Yellow 10mm LED (25 / order)</t>
  </si>
  <si>
    <t>ADA4204</t>
  </si>
  <si>
    <t>https://thepihut.com/products/diffused-10mm-led-pack-5-leds-each-in-5-colors-25-pack</t>
  </si>
  <si>
    <t xml:space="preserve">Original product discontinued, this 25 pack incudes a good yellow </t>
  </si>
  <si>
    <t>yellow LED</t>
  </si>
  <si>
    <t>Prusament ASA Natural 850g</t>
  </si>
  <si>
    <t>PLA-009</t>
  </si>
  <si>
    <t>https://thepihut.com/products/jet-black-pla-filament-1-75mm-1kg</t>
  </si>
  <si>
    <t>black filament instead</t>
  </si>
  <si>
    <t>filament</t>
  </si>
  <si>
    <t>1kg</t>
  </si>
  <si>
    <t>Arduino Leonardo with Headers</t>
  </si>
  <si>
    <t>A000057</t>
  </si>
  <si>
    <t>https://thepihut.com/products/arduino-leonardo-with-headers</t>
  </si>
  <si>
    <t>same leonardo available</t>
  </si>
  <si>
    <t>Leonardo</t>
  </si>
  <si>
    <t>330 Ω resistor (quarter and half watt sets)</t>
  </si>
  <si>
    <t>https://thepihut.com/products/resistor-packs-1-2-watt-1?variant=42440180662467</t>
  </si>
  <si>
    <t>330 ohm resistor</t>
  </si>
  <si>
    <t>100 Ω resistor  X 2 (quarter and half watt sets)</t>
  </si>
  <si>
    <t>https://thepihut.com/products/resistor-packs-1-2-watt-1?variant=42440180596931</t>
  </si>
  <si>
    <t>100 ohm resistor</t>
  </si>
  <si>
    <t>Hook-up Wire Spool Set - 22AWG Solid Core</t>
  </si>
  <si>
    <t>https://thepihut.com/products/prototyping-wire-spool-set-10-spool</t>
  </si>
  <si>
    <t>stranded core wire not recommended for breadboard, get solid core</t>
  </si>
  <si>
    <t>wire</t>
  </si>
  <si>
    <t>10 x 25ft</t>
  </si>
  <si>
    <t>LEE</t>
  </si>
  <si>
    <t>LEE 767 Oklahoma Yellow Lighting Gel</t>
  </si>
  <si>
    <t>767H</t>
  </si>
  <si>
    <t>https://leefiltersdirect.com/products/lee-767-oklahoma-yellow-lighting-gel?srsltid=AfmBOooL9RGj4h_RcQP1I2H26kZos1PnitThY3j0CWvmy1Me6w6HFtBm&amp;variant=42281862103220</t>
  </si>
  <si>
    <t>yellow filter</t>
  </si>
  <si>
    <t>21" x 24"</t>
  </si>
  <si>
    <t>-</t>
  </si>
  <si>
    <t>410H</t>
  </si>
  <si>
    <t>https://leefiltersdirect.com/products/410-opal-frost?_pos=1&amp;_sid=77f81dda0&amp;_ss=r&amp;variant=42295783456948</t>
  </si>
  <si>
    <t>LEE 410 Opal Frost Diffusion Gel - Appears very similar to the diffusion tape and diffuses the LEDs the best out of the swatch book</t>
  </si>
  <si>
    <t>diffuser</t>
  </si>
  <si>
    <t>LEE 210 .6 Neutral density filter</t>
  </si>
  <si>
    <t>https://leefiltersdirect.com/products/210-6nd?_pos=2&amp;_sid=443877e67&amp;_ss=r&amp;variant=42274782740660</t>
  </si>
  <si>
    <t>ND filter</t>
  </si>
  <si>
    <t>mouser.co.uk</t>
  </si>
  <si>
    <t>Adafruit Proto Shield for Arduino V:R3</t>
  </si>
  <si>
    <t>https://www.mouser.co.uk/ProductDetail/Adafruit/2077?qs=GURawfaeGuAV%252BqSx1Q3Ycw%3D%3D</t>
  </si>
  <si>
    <t>sold out at thepihut, available at digikey but slow delivery</t>
  </si>
  <si>
    <t>proto shield</t>
  </si>
  <si>
    <t>150 Ω resistor (quarter watt and half watt sets)</t>
  </si>
  <si>
    <t>CF12JT150R</t>
  </si>
  <si>
    <t>150 ohm not stocked at thepihut, digikey has delays, found at mouser.co.uk</t>
  </si>
  <si>
    <t>150 ohm resistor</t>
  </si>
  <si>
    <t>Boots</t>
  </si>
  <si>
    <t>Colourful elastic bands</t>
  </si>
  <si>
    <t>https://www.boots.com/boots-kids-multi-bright-coloured-polybands-15s-10317976</t>
  </si>
  <si>
    <t>Does not need to be these, any colourful elastic bands with fabric covering are fine!</t>
  </si>
  <si>
    <t>330 ohm 1/2 watt</t>
  </si>
  <si>
    <t>100 ohm 1/2</t>
  </si>
  <si>
    <t>LEE 210 .6 Neutral Density FIlter - Dim the mixing light so can be matched with the ref. light</t>
  </si>
  <si>
    <t>LEE Direct</t>
  </si>
  <si>
    <t>Diffusion paper</t>
  </si>
  <si>
    <t>210H</t>
  </si>
  <si>
    <t>Rymans</t>
  </si>
  <si>
    <t>Black electrical tape</t>
  </si>
  <si>
    <t>https://www.ryman.co.uk/unibond-insulating-electrical-tape-pack-of-6-x-3-5m-1</t>
  </si>
  <si>
    <t>Fabric-covered elastic bands</t>
  </si>
  <si>
    <t>Electrical Tape</t>
  </si>
  <si>
    <t>UniBond</t>
  </si>
  <si>
    <t>3DQF</t>
  </si>
  <si>
    <t>Used to secure diffuion paper to casing and to mark different Arduino devices.</t>
  </si>
  <si>
    <t>Cost per Item</t>
  </si>
  <si>
    <t>Cost per Number of Arduinos</t>
  </si>
  <si>
    <t>SKU</t>
  </si>
  <si>
    <t>TOTAL COST</t>
  </si>
  <si>
    <t>COST PER UNIT</t>
  </si>
  <si>
    <t>https://www.mouser.co.uk/ProductDetail/SEI-Stackpole/CF12JT150R?qs=FESYatJ8odICBkpNxp%2FeFg%3D%3D</t>
  </si>
  <si>
    <t>SEI-StackPole</t>
  </si>
  <si>
    <t>The Pi Hut</t>
  </si>
  <si>
    <t>Arduino</t>
  </si>
  <si>
    <t>6 x 3.5m</t>
  </si>
  <si>
    <t>25 (5x5 colours)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</si>
</sst>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£-809]* #,##0.00_-;\-[$£-809]* #,##0.00_-;_-[$£-809]* &quot;-&quot;??_-;_-@_-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1" applyNumberFormat="1" applyFont="1"/>
    <xf numFmtId="16" fontId="3" fillId="0" borderId="0" xfId="1" applyNumberFormat="1" applyFont="1"/>
    <xf numFmtId="0" fontId="4" fillId="0" borderId="0" xfId="0" applyFont="1"/>
    <xf numFmtId="0" fontId="1" fillId="0" borderId="0" xfId="1"/>
    <xf numFmtId="0" fontId="0" fillId="0" borderId="1" xfId="0" applyBorder="1"/>
    <xf numFmtId="44" fontId="0" fillId="0" borderId="1" xfId="0" applyNumberFormat="1" applyBorder="1"/>
    <xf numFmtId="0" fontId="0" fillId="0" borderId="2" xfId="0" applyBorder="1"/>
    <xf numFmtId="44" fontId="0" fillId="0" borderId="2" xfId="0" applyNumberFormat="1" applyBorder="1"/>
    <xf numFmtId="0" fontId="3" fillId="0" borderId="0" xfId="1" applyFont="1" applyFill="1"/>
    <xf numFmtId="0" fontId="1" fillId="0" borderId="0" xfId="1" applyFill="1"/>
    <xf numFmtId="0" fontId="5" fillId="0" borderId="0" xfId="0" applyFont="1"/>
    <xf numFmtId="49" fontId="3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horizontal="left" vertical="center" wrapText="1"/>
    </xf>
    <xf numFmtId="0" fontId="3" fillId="0" borderId="0" xfId="0" applyFont="1"/>
    <xf numFmtId="49" fontId="3" fillId="0" borderId="0" xfId="0" applyNumberFormat="1" applyFont="1"/>
    <xf numFmtId="0" fontId="6" fillId="0" borderId="0" xfId="1" applyFont="1" applyAlignment="1">
      <alignment horizontal="left"/>
    </xf>
    <xf numFmtId="44" fontId="3" fillId="0" borderId="0" xfId="2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6" fillId="0" borderId="0" xfId="1" applyFont="1"/>
    <xf numFmtId="0" fontId="0" fillId="0" borderId="0" xfId="0" applyFill="1"/>
    <xf numFmtId="0" fontId="0" fillId="0" borderId="0" xfId="0" applyBorder="1"/>
    <xf numFmtId="164" fontId="0" fillId="0" borderId="0" xfId="0" applyNumberFormat="1" applyBorder="1"/>
    <xf numFmtId="164" fontId="0" fillId="0" borderId="0" xfId="0" applyNumberFormat="1" applyFill="1" applyBorder="1"/>
    <xf numFmtId="0" fontId="8" fillId="0" borderId="0" xfId="1" applyFont="1" applyFill="1"/>
    <xf numFmtId="0" fontId="8" fillId="0" borderId="0" xfId="0" applyFont="1" applyFill="1"/>
    <xf numFmtId="0" fontId="3" fillId="0" borderId="0" xfId="0" applyFont="1" applyFill="1"/>
    <xf numFmtId="0" fontId="7" fillId="0" borderId="2" xfId="0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49" fontId="3" fillId="0" borderId="2" xfId="0" applyNumberFormat="1" applyFont="1" applyBorder="1" applyAlignment="1">
      <alignment horizontal="left" vertical="center" wrapText="1"/>
    </xf>
    <xf numFmtId="0" fontId="6" fillId="0" borderId="2" xfId="1" applyFont="1" applyBorder="1"/>
    <xf numFmtId="0" fontId="8" fillId="0" borderId="2" xfId="1" applyFont="1" applyFill="1" applyBorder="1"/>
    <xf numFmtId="0" fontId="3" fillId="0" borderId="2" xfId="1" applyFont="1" applyFill="1" applyBorder="1"/>
    <xf numFmtId="0" fontId="3" fillId="0" borderId="2" xfId="1" applyNumberFormat="1" applyFont="1" applyBorder="1"/>
    <xf numFmtId="164" fontId="3" fillId="0" borderId="2" xfId="0" applyNumberFormat="1" applyFont="1" applyBorder="1"/>
    <xf numFmtId="44" fontId="3" fillId="0" borderId="2" xfId="2" applyFont="1" applyBorder="1"/>
    <xf numFmtId="0" fontId="7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pihut.com/products/diffused-rgb-tri-color-10mm-led-10-pack" TargetMode="External"/><Relationship Id="rId13" Type="http://schemas.openxmlformats.org/officeDocument/2006/relationships/hyperlink" Target="https://www.ryman.co.uk/unibond-insulating-electrical-tape-pack-of-6-x-3-5m-1" TargetMode="External"/><Relationship Id="rId3" Type="http://schemas.openxmlformats.org/officeDocument/2006/relationships/hyperlink" Target="https://thepihut.com/products/resistor-packs-1-2-watt-1?variant=42440180596931" TargetMode="External"/><Relationship Id="rId7" Type="http://schemas.openxmlformats.org/officeDocument/2006/relationships/hyperlink" Target="https://leefiltersdirect.com/products/410-opal-frost?_pos=1&amp;_sid=77f81dda0&amp;_ss=r&amp;variant=42295783456948" TargetMode="External"/><Relationship Id="rId12" Type="http://schemas.openxmlformats.org/officeDocument/2006/relationships/hyperlink" Target="https://leefiltersdirect.com/products/210-6nd?_pos=2&amp;_sid=443877e67&amp;_ss=r&amp;variant=42274782740660" TargetMode="External"/><Relationship Id="rId2" Type="http://schemas.openxmlformats.org/officeDocument/2006/relationships/hyperlink" Target="https://thepihut.com/products/jet-black-pla-filament-1-75mm-1kg" TargetMode="External"/><Relationship Id="rId1" Type="http://schemas.openxmlformats.org/officeDocument/2006/relationships/hyperlink" Target="https://thepihut.com/products/diffused-10mm-led-pack-5-leds-each-in-5-colors-25-pack" TargetMode="External"/><Relationship Id="rId6" Type="http://schemas.openxmlformats.org/officeDocument/2006/relationships/hyperlink" Target="https://leefiltersdirect.com/products/lee-767-oklahoma-yellow-lighting-gel?srsltid=AfmBOooL9RGj4h_RcQP1I2H26kZos1PnitThY3j0CWvmy1Me6w6HFtBm&amp;variant=42281862103220" TargetMode="External"/><Relationship Id="rId11" Type="http://schemas.openxmlformats.org/officeDocument/2006/relationships/hyperlink" Target="https://www.mouser.co.uk/ProductDetail/Adafruit/2077?qs=GURawfaeGuAV%252BqSx1Q3Ycw%3D%3D" TargetMode="External"/><Relationship Id="rId5" Type="http://schemas.openxmlformats.org/officeDocument/2006/relationships/hyperlink" Target="https://www.boots.com/boots-kids-multi-bright-coloured-polybands-15s-10317976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thepihut.com/products/prototyping-wire-spool-set-10-spool" TargetMode="External"/><Relationship Id="rId4" Type="http://schemas.openxmlformats.org/officeDocument/2006/relationships/hyperlink" Target="https://thepihut.com/products/resistor-packs-1-2-watt-1?variant=42440180662467" TargetMode="External"/><Relationship Id="rId9" Type="http://schemas.openxmlformats.org/officeDocument/2006/relationships/hyperlink" Target="https://thepihut.com/products/arduino-leonardo-with-headers" TargetMode="External"/><Relationship Id="rId14" Type="http://schemas.openxmlformats.org/officeDocument/2006/relationships/hyperlink" Target="https://www.mouser.co.uk/ProductDetail/SEI-Stackpole/CF12JT150R?qs=FESYatJ8odICBkpNxp%2FeF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58E0-9D6D-1F40-89F3-631842B0599F}">
  <dimension ref="A1:T35"/>
  <sheetViews>
    <sheetView tabSelected="1" zoomScale="80" zoomScaleNormal="80" workbookViewId="0">
      <selection activeCell="F22" sqref="F22"/>
    </sheetView>
  </sheetViews>
  <sheetFormatPr defaultColWidth="11" defaultRowHeight="15.75" customHeight="1" x14ac:dyDescent="0.25"/>
  <cols>
    <col min="1" max="1" width="13.125" customWidth="1"/>
    <col min="2" max="2" width="12.5" bestFit="1" customWidth="1"/>
    <col min="3" max="3" width="53.875" customWidth="1"/>
    <col min="4" max="4" width="16.125" style="13" customWidth="1"/>
    <col min="5" max="5" width="66.75" customWidth="1"/>
    <col min="6" max="6" width="65.125" customWidth="1"/>
    <col min="7" max="7" width="26.375" customWidth="1"/>
    <col min="8" max="8" width="15.25" bestFit="1" customWidth="1"/>
    <col min="9" max="9" width="22.25" bestFit="1" customWidth="1"/>
    <col min="10" max="10" width="13.625" bestFit="1" customWidth="1"/>
    <col min="11" max="11" width="11.75" customWidth="1"/>
    <col min="12" max="12" width="11.875" customWidth="1"/>
    <col min="13" max="13" width="11.75" customWidth="1"/>
    <col min="14" max="14" width="11.875" customWidth="1"/>
  </cols>
  <sheetData>
    <row r="1" spans="1:20" s="3" customFormat="1" x14ac:dyDescent="0.25">
      <c r="A1" s="42" t="s">
        <v>0</v>
      </c>
      <c r="B1" s="42" t="s">
        <v>1</v>
      </c>
      <c r="C1" s="42" t="s">
        <v>2</v>
      </c>
      <c r="D1" s="43" t="s">
        <v>85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83</v>
      </c>
      <c r="K1" s="44" t="s">
        <v>84</v>
      </c>
      <c r="L1" s="44"/>
      <c r="M1" s="44"/>
      <c r="N1" s="44"/>
      <c r="O1" s="44"/>
      <c r="P1" s="44"/>
      <c r="Q1" s="44"/>
      <c r="R1" s="44"/>
      <c r="S1" s="44"/>
      <c r="T1" s="44"/>
    </row>
    <row r="2" spans="1:20" s="3" customFormat="1" x14ac:dyDescent="0.25">
      <c r="A2" s="44"/>
      <c r="B2" s="44"/>
      <c r="C2" s="44"/>
      <c r="D2" s="45"/>
      <c r="E2" s="44"/>
      <c r="F2" s="44"/>
      <c r="G2" s="44"/>
      <c r="H2" s="44"/>
      <c r="I2" s="44"/>
      <c r="J2" s="44"/>
      <c r="K2" s="31">
        <v>1</v>
      </c>
      <c r="L2" s="31">
        <v>2</v>
      </c>
      <c r="M2" s="31">
        <v>3</v>
      </c>
      <c r="N2" s="32">
        <v>4</v>
      </c>
      <c r="O2" s="31">
        <v>5</v>
      </c>
      <c r="P2" s="31">
        <v>6</v>
      </c>
      <c r="Q2" s="31">
        <v>7</v>
      </c>
      <c r="R2" s="31">
        <v>8</v>
      </c>
      <c r="S2" s="33">
        <v>9</v>
      </c>
      <c r="T2" s="33">
        <v>10</v>
      </c>
    </row>
    <row r="3" spans="1:20" x14ac:dyDescent="0.25">
      <c r="A3" s="15" t="s">
        <v>8</v>
      </c>
      <c r="B3" s="15" t="s">
        <v>9</v>
      </c>
      <c r="C3" s="15" t="s">
        <v>10</v>
      </c>
      <c r="D3" s="12" t="s">
        <v>11</v>
      </c>
      <c r="E3" s="17" t="s">
        <v>12</v>
      </c>
      <c r="F3" s="28" t="s">
        <v>13</v>
      </c>
      <c r="G3" s="9" t="s">
        <v>14</v>
      </c>
      <c r="H3" s="1">
        <v>10</v>
      </c>
      <c r="I3" s="15">
        <v>0.1</v>
      </c>
      <c r="J3" s="18">
        <v>9.6</v>
      </c>
      <c r="K3" s="18">
        <f>ROUNDUP(K$2*$I3,0)*$J3</f>
        <v>9.6</v>
      </c>
      <c r="L3" s="18">
        <f t="shared" ref="L3:T12" si="0">ROUNDUP(L$2*$I3,0)*$J3</f>
        <v>9.6</v>
      </c>
      <c r="M3" s="18">
        <f t="shared" si="0"/>
        <v>9.6</v>
      </c>
      <c r="N3" s="18">
        <f t="shared" si="0"/>
        <v>9.6</v>
      </c>
      <c r="O3" s="18">
        <f t="shared" si="0"/>
        <v>9.6</v>
      </c>
      <c r="P3" s="18">
        <f t="shared" si="0"/>
        <v>9.6</v>
      </c>
      <c r="Q3" s="18">
        <f t="shared" si="0"/>
        <v>9.6</v>
      </c>
      <c r="R3" s="18">
        <f t="shared" si="0"/>
        <v>9.6</v>
      </c>
      <c r="S3" s="18">
        <f t="shared" si="0"/>
        <v>9.6</v>
      </c>
      <c r="T3" s="18">
        <f t="shared" si="0"/>
        <v>9.6</v>
      </c>
    </row>
    <row r="4" spans="1:20" x14ac:dyDescent="0.25">
      <c r="A4" s="15" t="s">
        <v>8</v>
      </c>
      <c r="B4" s="15" t="s">
        <v>9</v>
      </c>
      <c r="C4" s="15" t="s">
        <v>15</v>
      </c>
      <c r="D4" s="16" t="s">
        <v>16</v>
      </c>
      <c r="E4" s="17" t="s">
        <v>17</v>
      </c>
      <c r="F4" s="28" t="s">
        <v>18</v>
      </c>
      <c r="G4" s="9" t="s">
        <v>19</v>
      </c>
      <c r="H4" s="2" t="s">
        <v>93</v>
      </c>
      <c r="I4" s="15">
        <v>0.2</v>
      </c>
      <c r="J4" s="18">
        <v>7.7</v>
      </c>
      <c r="K4" s="18">
        <f t="shared" ref="K4:K12" si="1">ROUNDUP(K$2*$I4,0)*$J4</f>
        <v>7.7</v>
      </c>
      <c r="L4" s="18">
        <f t="shared" si="0"/>
        <v>7.7</v>
      </c>
      <c r="M4" s="18">
        <f t="shared" si="0"/>
        <v>7.7</v>
      </c>
      <c r="N4" s="18">
        <f t="shared" si="0"/>
        <v>7.7</v>
      </c>
      <c r="O4" s="18">
        <f t="shared" si="0"/>
        <v>7.7</v>
      </c>
      <c r="P4" s="18">
        <f>ROUNDUP(P$2*$I4,0)*$J4</f>
        <v>15.4</v>
      </c>
      <c r="Q4" s="18">
        <f t="shared" si="0"/>
        <v>15.4</v>
      </c>
      <c r="R4" s="18">
        <f t="shared" si="0"/>
        <v>15.4</v>
      </c>
      <c r="S4" s="18">
        <f t="shared" si="0"/>
        <v>15.4</v>
      </c>
      <c r="T4" s="18">
        <f t="shared" si="0"/>
        <v>15.4</v>
      </c>
    </row>
    <row r="5" spans="1:20" x14ac:dyDescent="0.25">
      <c r="A5" s="15" t="s">
        <v>81</v>
      </c>
      <c r="B5" s="15" t="s">
        <v>9</v>
      </c>
      <c r="C5" s="15" t="s">
        <v>20</v>
      </c>
      <c r="D5" s="16" t="s">
        <v>21</v>
      </c>
      <c r="E5" s="17" t="s">
        <v>22</v>
      </c>
      <c r="F5" s="28" t="s">
        <v>23</v>
      </c>
      <c r="G5" s="9" t="s">
        <v>24</v>
      </c>
      <c r="H5" s="1" t="s">
        <v>25</v>
      </c>
      <c r="I5" s="19">
        <v>0.1</v>
      </c>
      <c r="J5" s="18">
        <v>18</v>
      </c>
      <c r="K5" s="18">
        <f>ROUNDUP(K$2*$I5,0)*$J5</f>
        <v>18</v>
      </c>
      <c r="L5" s="18">
        <f>ROUNDUP(L$2*$I5,0)*$J5</f>
        <v>18</v>
      </c>
      <c r="M5" s="18">
        <f>ROUNDUP(M$2*$I5,0)*$J5</f>
        <v>18</v>
      </c>
      <c r="N5" s="18">
        <f>ROUNDUP(N$2*$I5,0)*$J5</f>
        <v>18</v>
      </c>
      <c r="O5" s="18">
        <f>ROUNDUP(O$2*$I5,0)*$J5</f>
        <v>18</v>
      </c>
      <c r="P5" s="18">
        <f>ROUNDUP(P$2*$I5,0)*$J5</f>
        <v>18</v>
      </c>
      <c r="Q5" s="18">
        <f>ROUNDUP(Q$2*$I5,0)*$J5</f>
        <v>18</v>
      </c>
      <c r="R5" s="18">
        <f>ROUNDUP(R$2*$I5,0)*$J5</f>
        <v>18</v>
      </c>
      <c r="S5" s="18">
        <f>ROUNDUP(S$2*$I5,0)*$J5</f>
        <v>18</v>
      </c>
      <c r="T5" s="18">
        <f>ROUNDUP(T$2*$I5,0)*$J5</f>
        <v>18</v>
      </c>
    </row>
    <row r="6" spans="1:20" x14ac:dyDescent="0.25">
      <c r="A6" s="15" t="s">
        <v>91</v>
      </c>
      <c r="B6" s="15" t="s">
        <v>9</v>
      </c>
      <c r="C6" s="15" t="s">
        <v>26</v>
      </c>
      <c r="D6" s="16" t="s">
        <v>27</v>
      </c>
      <c r="E6" s="17" t="s">
        <v>28</v>
      </c>
      <c r="F6" s="28" t="s">
        <v>29</v>
      </c>
      <c r="G6" s="9" t="s">
        <v>30</v>
      </c>
      <c r="H6" s="1">
        <v>1</v>
      </c>
      <c r="I6" s="15">
        <v>1</v>
      </c>
      <c r="J6" s="18">
        <v>21.2</v>
      </c>
      <c r="K6" s="18">
        <f>ROUNDUP(K$2*$I6,0)*$J6</f>
        <v>21.2</v>
      </c>
      <c r="L6" s="18">
        <f>ROUNDUP(L$2*$I6,0)*$J6</f>
        <v>42.4</v>
      </c>
      <c r="M6" s="18">
        <f>ROUNDUP(M$2*$I6,0)*$J6</f>
        <v>63.599999999999994</v>
      </c>
      <c r="N6" s="18">
        <f>ROUNDUP(N$2*$I6,0)*$J6</f>
        <v>84.8</v>
      </c>
      <c r="O6" s="18">
        <f>ROUNDUP(O$2*$I6,0)*$J6</f>
        <v>106</v>
      </c>
      <c r="P6" s="18">
        <f>ROUNDUP(P$2*$I6,0)*$J6</f>
        <v>127.19999999999999</v>
      </c>
      <c r="Q6" s="18">
        <f>ROUNDUP(Q$2*$I6,0)*$J6</f>
        <v>148.4</v>
      </c>
      <c r="R6" s="18">
        <f>ROUNDUP(R$2*$I6,0)*$J6</f>
        <v>169.6</v>
      </c>
      <c r="S6" s="18">
        <f>ROUNDUP(S$2*$I6,0)*$J6</f>
        <v>190.79999999999998</v>
      </c>
      <c r="T6" s="18">
        <f>ROUNDUP(T$2*$I6,0)*$J6</f>
        <v>212</v>
      </c>
    </row>
    <row r="7" spans="1:20" x14ac:dyDescent="0.25">
      <c r="A7" s="15" t="s">
        <v>90</v>
      </c>
      <c r="B7" s="15" t="s">
        <v>9</v>
      </c>
      <c r="C7" s="15" t="s">
        <v>31</v>
      </c>
      <c r="D7" s="16">
        <v>105395</v>
      </c>
      <c r="E7" s="17" t="s">
        <v>32</v>
      </c>
      <c r="F7" s="29" t="s">
        <v>69</v>
      </c>
      <c r="G7" s="30" t="s">
        <v>33</v>
      </c>
      <c r="H7" s="15">
        <v>25</v>
      </c>
      <c r="I7" s="15">
        <v>0.02</v>
      </c>
      <c r="J7" s="20">
        <v>2</v>
      </c>
      <c r="K7" s="18">
        <f>ROUNDUP(K$2*$I7,0)*$J7</f>
        <v>2</v>
      </c>
      <c r="L7" s="18">
        <f>ROUNDUP(L$2*$I7,0)*$J7</f>
        <v>2</v>
      </c>
      <c r="M7" s="18">
        <f>ROUNDUP(M$2*$I7,0)*$J7</f>
        <v>2</v>
      </c>
      <c r="N7" s="18">
        <f>ROUNDUP(N$2*$I7,0)*$J7</f>
        <v>2</v>
      </c>
      <c r="O7" s="18">
        <f>ROUNDUP(O$2*$I7,0)*$J7</f>
        <v>2</v>
      </c>
      <c r="P7" s="18">
        <f>ROUNDUP(P$2*$I7,0)*$J7</f>
        <v>2</v>
      </c>
      <c r="Q7" s="18">
        <f>ROUNDUP(Q$2*$I7,0)*$J7</f>
        <v>2</v>
      </c>
      <c r="R7" s="18">
        <f>ROUNDUP(R$2*$I7,0)*$J7</f>
        <v>2</v>
      </c>
      <c r="S7" s="18">
        <f>ROUNDUP(S$2*$I7,0)*$J7</f>
        <v>2</v>
      </c>
      <c r="T7" s="18">
        <f>ROUNDUP(T$2*$I7,0)*$J7</f>
        <v>2</v>
      </c>
    </row>
    <row r="8" spans="1:20" x14ac:dyDescent="0.25">
      <c r="A8" s="15" t="s">
        <v>90</v>
      </c>
      <c r="B8" s="15" t="s">
        <v>9</v>
      </c>
      <c r="C8" s="15" t="s">
        <v>34</v>
      </c>
      <c r="D8" s="16">
        <v>105393</v>
      </c>
      <c r="E8" s="17" t="s">
        <v>35</v>
      </c>
      <c r="F8" s="29" t="s">
        <v>70</v>
      </c>
      <c r="G8" s="30" t="s">
        <v>36</v>
      </c>
      <c r="H8" s="15">
        <v>25</v>
      </c>
      <c r="I8" s="15">
        <v>0.02</v>
      </c>
      <c r="J8" s="20">
        <v>2</v>
      </c>
      <c r="K8" s="18">
        <f>ROUNDUP(K$2*$I8,0)*$J8</f>
        <v>2</v>
      </c>
      <c r="L8" s="18">
        <f>ROUNDUP(L$2*$I8,0)*$J8</f>
        <v>2</v>
      </c>
      <c r="M8" s="18">
        <f>ROUNDUP(M$2*$I8,0)*$J8</f>
        <v>2</v>
      </c>
      <c r="N8" s="18">
        <f>ROUNDUP(N$2*$I8,0)*$J8</f>
        <v>2</v>
      </c>
      <c r="O8" s="18">
        <f>ROUNDUP(O$2*$I8,0)*$J8</f>
        <v>2</v>
      </c>
      <c r="P8" s="18">
        <f>ROUNDUP(P$2*$I8,0)*$J8</f>
        <v>2</v>
      </c>
      <c r="Q8" s="18">
        <f>ROUNDUP(Q$2*$I8,0)*$J8</f>
        <v>2</v>
      </c>
      <c r="R8" s="18">
        <f>ROUNDUP(R$2*$I8,0)*$J8</f>
        <v>2</v>
      </c>
      <c r="S8" s="18">
        <f>ROUNDUP(S$2*$I8,0)*$J8</f>
        <v>2</v>
      </c>
      <c r="T8" s="18">
        <f>ROUNDUP(T$2*$I8,0)*$J8</f>
        <v>2</v>
      </c>
    </row>
    <row r="9" spans="1:20" x14ac:dyDescent="0.25">
      <c r="A9" s="15" t="s">
        <v>8</v>
      </c>
      <c r="B9" s="15" t="s">
        <v>9</v>
      </c>
      <c r="C9" s="15" t="s">
        <v>37</v>
      </c>
      <c r="D9" s="21">
        <v>104316</v>
      </c>
      <c r="E9" s="17" t="s">
        <v>38</v>
      </c>
      <c r="F9" s="28" t="s">
        <v>39</v>
      </c>
      <c r="G9" s="9" t="s">
        <v>40</v>
      </c>
      <c r="H9" s="1" t="s">
        <v>41</v>
      </c>
      <c r="I9" s="15">
        <v>0.04</v>
      </c>
      <c r="J9" s="18">
        <v>21.9</v>
      </c>
      <c r="K9" s="18">
        <f>ROUNDUP(K$2*$I9,0)*$J9</f>
        <v>21.9</v>
      </c>
      <c r="L9" s="18">
        <f>ROUNDUP(L$2*$I9,0)*$J9</f>
        <v>21.9</v>
      </c>
      <c r="M9" s="18">
        <f>ROUNDUP(M$2*$I9,0)*$J9</f>
        <v>21.9</v>
      </c>
      <c r="N9" s="18">
        <f>ROUNDUP(N$2*$I9,0)*$J9</f>
        <v>21.9</v>
      </c>
      <c r="O9" s="18">
        <f>ROUNDUP(O$2*$I9,0)*$J9</f>
        <v>21.9</v>
      </c>
      <c r="P9" s="18">
        <f>ROUNDUP(P$2*$I9,0)*$J9</f>
        <v>21.9</v>
      </c>
      <c r="Q9" s="18">
        <f>ROUNDUP(Q$2*$I9,0)*$J9</f>
        <v>21.9</v>
      </c>
      <c r="R9" s="18">
        <f>ROUNDUP(R$2*$I9,0)*$J9</f>
        <v>21.9</v>
      </c>
      <c r="S9" s="18">
        <f>ROUNDUP(S$2*$I9,0)*$J9</f>
        <v>21.9</v>
      </c>
      <c r="T9" s="18">
        <f>ROUNDUP(T$2*$I9,0)*$J9</f>
        <v>21.9</v>
      </c>
    </row>
    <row r="10" spans="1:20" x14ac:dyDescent="0.25">
      <c r="A10" s="15" t="s">
        <v>42</v>
      </c>
      <c r="B10" s="15" t="s">
        <v>72</v>
      </c>
      <c r="C10" s="15" t="s">
        <v>43</v>
      </c>
      <c r="D10" s="16" t="s">
        <v>44</v>
      </c>
      <c r="E10" s="17" t="s">
        <v>45</v>
      </c>
      <c r="F10" s="29" t="s">
        <v>43</v>
      </c>
      <c r="G10" s="30" t="s">
        <v>46</v>
      </c>
      <c r="H10" s="15" t="s">
        <v>47</v>
      </c>
      <c r="I10" s="15">
        <v>0.02</v>
      </c>
      <c r="J10" s="18">
        <v>4.75</v>
      </c>
      <c r="K10" s="18">
        <f t="shared" si="1"/>
        <v>4.75</v>
      </c>
      <c r="L10" s="18">
        <f t="shared" si="0"/>
        <v>4.75</v>
      </c>
      <c r="M10" s="18">
        <f t="shared" si="0"/>
        <v>4.75</v>
      </c>
      <c r="N10" s="18">
        <f t="shared" si="0"/>
        <v>4.75</v>
      </c>
      <c r="O10" s="18">
        <f t="shared" si="0"/>
        <v>4.75</v>
      </c>
      <c r="P10" s="18">
        <f t="shared" si="0"/>
        <v>4.75</v>
      </c>
      <c r="Q10" s="18">
        <f t="shared" si="0"/>
        <v>4.75</v>
      </c>
      <c r="R10" s="18">
        <f t="shared" si="0"/>
        <v>4.75</v>
      </c>
      <c r="S10" s="18">
        <f t="shared" si="0"/>
        <v>4.75</v>
      </c>
      <c r="T10" s="18">
        <f t="shared" si="0"/>
        <v>4.75</v>
      </c>
    </row>
    <row r="11" spans="1:20" x14ac:dyDescent="0.25">
      <c r="A11" s="15" t="s">
        <v>42</v>
      </c>
      <c r="B11" s="15" t="s">
        <v>72</v>
      </c>
      <c r="C11" s="15" t="s">
        <v>73</v>
      </c>
      <c r="D11" s="16" t="s">
        <v>49</v>
      </c>
      <c r="E11" s="17" t="s">
        <v>50</v>
      </c>
      <c r="F11" s="29" t="s">
        <v>51</v>
      </c>
      <c r="G11" s="30" t="s">
        <v>52</v>
      </c>
      <c r="H11" s="15" t="s">
        <v>47</v>
      </c>
      <c r="I11" s="15">
        <v>0.02</v>
      </c>
      <c r="J11" s="20">
        <v>4.62</v>
      </c>
      <c r="K11" s="18">
        <f t="shared" si="1"/>
        <v>4.62</v>
      </c>
      <c r="L11" s="18">
        <f t="shared" si="0"/>
        <v>4.62</v>
      </c>
      <c r="M11" s="18">
        <f t="shared" si="0"/>
        <v>4.62</v>
      </c>
      <c r="N11" s="18">
        <f t="shared" si="0"/>
        <v>4.62</v>
      </c>
      <c r="O11" s="18">
        <f t="shared" si="0"/>
        <v>4.62</v>
      </c>
      <c r="P11" s="18">
        <f t="shared" si="0"/>
        <v>4.62</v>
      </c>
      <c r="Q11" s="18">
        <f t="shared" si="0"/>
        <v>4.62</v>
      </c>
      <c r="R11" s="18">
        <f t="shared" si="0"/>
        <v>4.62</v>
      </c>
      <c r="S11" s="18">
        <f t="shared" si="0"/>
        <v>4.62</v>
      </c>
      <c r="T11" s="18">
        <f t="shared" si="0"/>
        <v>4.62</v>
      </c>
    </row>
    <row r="12" spans="1:20" x14ac:dyDescent="0.25">
      <c r="A12" s="15" t="s">
        <v>42</v>
      </c>
      <c r="B12" s="15" t="s">
        <v>72</v>
      </c>
      <c r="C12" s="15" t="s">
        <v>53</v>
      </c>
      <c r="D12" s="15" t="s">
        <v>74</v>
      </c>
      <c r="E12" s="17" t="s">
        <v>54</v>
      </c>
      <c r="F12" s="29" t="s">
        <v>71</v>
      </c>
      <c r="G12" s="30" t="s">
        <v>55</v>
      </c>
      <c r="H12" s="15" t="s">
        <v>47</v>
      </c>
      <c r="I12" s="15">
        <v>0.02</v>
      </c>
      <c r="J12" s="20">
        <v>4.75</v>
      </c>
      <c r="K12" s="18">
        <f t="shared" si="1"/>
        <v>4.75</v>
      </c>
      <c r="L12" s="18">
        <f t="shared" si="0"/>
        <v>4.75</v>
      </c>
      <c r="M12" s="18">
        <f t="shared" si="0"/>
        <v>4.75</v>
      </c>
      <c r="N12" s="18">
        <f t="shared" si="0"/>
        <v>4.75</v>
      </c>
      <c r="O12" s="18">
        <f t="shared" si="0"/>
        <v>4.75</v>
      </c>
      <c r="P12" s="18">
        <f t="shared" si="0"/>
        <v>4.75</v>
      </c>
      <c r="Q12" s="18">
        <f t="shared" si="0"/>
        <v>4.75</v>
      </c>
      <c r="R12" s="18">
        <f t="shared" si="0"/>
        <v>4.75</v>
      </c>
      <c r="S12" s="18">
        <f t="shared" si="0"/>
        <v>4.75</v>
      </c>
      <c r="T12" s="18">
        <f t="shared" si="0"/>
        <v>4.75</v>
      </c>
    </row>
    <row r="13" spans="1:20" x14ac:dyDescent="0.25">
      <c r="A13" s="15" t="s">
        <v>8</v>
      </c>
      <c r="B13" s="15" t="s">
        <v>56</v>
      </c>
      <c r="C13" s="15" t="s">
        <v>57</v>
      </c>
      <c r="D13" s="22">
        <v>2077</v>
      </c>
      <c r="E13" s="17" t="s">
        <v>58</v>
      </c>
      <c r="F13" s="28" t="s">
        <v>59</v>
      </c>
      <c r="G13" s="9" t="s">
        <v>60</v>
      </c>
      <c r="H13" s="1">
        <v>1</v>
      </c>
      <c r="I13" s="15">
        <v>1</v>
      </c>
      <c r="J13" s="18">
        <v>7.47</v>
      </c>
      <c r="K13" s="18">
        <f>ROUNDUP(K$2*$I13,0)*$J13</f>
        <v>7.47</v>
      </c>
      <c r="L13" s="18">
        <f>ROUNDUP(L$2*$I13,0)*$J13</f>
        <v>14.94</v>
      </c>
      <c r="M13" s="18">
        <f>ROUNDUP(M$2*$I13,0)*$J13</f>
        <v>22.41</v>
      </c>
      <c r="N13" s="18">
        <f>ROUNDUP(N$2*$I13,0)*$J13</f>
        <v>29.88</v>
      </c>
      <c r="O13" s="18">
        <f>ROUNDUP(O$2*$I13,0)*$J13</f>
        <v>37.35</v>
      </c>
      <c r="P13" s="18">
        <f>ROUNDUP(P$2*$I13,0)*$J13</f>
        <v>44.82</v>
      </c>
      <c r="Q13" s="18">
        <f>ROUNDUP(Q$2*$I13,0)*$J13</f>
        <v>52.29</v>
      </c>
      <c r="R13" s="18">
        <f>ROUNDUP(R$2*$I13,0)*$J13</f>
        <v>59.76</v>
      </c>
      <c r="S13" s="18">
        <f>ROUNDUP(S$2*$I13,0)*$J13</f>
        <v>67.23</v>
      </c>
      <c r="T13" s="18">
        <f>ROUNDUP(T$2*$I13,0)*$J13</f>
        <v>74.7</v>
      </c>
    </row>
    <row r="14" spans="1:20" x14ac:dyDescent="0.25">
      <c r="A14" s="15" t="s">
        <v>89</v>
      </c>
      <c r="B14" s="15" t="s">
        <v>56</v>
      </c>
      <c r="C14" s="15" t="s">
        <v>61</v>
      </c>
      <c r="D14" s="16" t="s">
        <v>62</v>
      </c>
      <c r="E14" s="17" t="s">
        <v>88</v>
      </c>
      <c r="F14" s="29" t="s">
        <v>63</v>
      </c>
      <c r="G14" s="30" t="s">
        <v>64</v>
      </c>
      <c r="H14" s="15">
        <v>10</v>
      </c>
      <c r="I14" s="15">
        <v>0.1</v>
      </c>
      <c r="J14" s="20">
        <v>1.2</v>
      </c>
      <c r="K14" s="18">
        <f>ROUNDUP(K$2*$I14,0)*$J14</f>
        <v>1.2</v>
      </c>
      <c r="L14" s="18">
        <f>ROUNDUP(L$2*$I14,0)*$J14</f>
        <v>1.2</v>
      </c>
      <c r="M14" s="18">
        <f>ROUNDUP(M$2*$I14,0)*$J14</f>
        <v>1.2</v>
      </c>
      <c r="N14" s="18">
        <f>ROUNDUP(N$2*$I14,0)*$J14</f>
        <v>1.2</v>
      </c>
      <c r="O14" s="18">
        <f>ROUNDUP(O$2*$I14,0)*$J14</f>
        <v>1.2</v>
      </c>
      <c r="P14" s="18">
        <f>ROUNDUP(P$2*$I14,0)*$J14</f>
        <v>1.2</v>
      </c>
      <c r="Q14" s="18">
        <f>ROUNDUP(Q$2*$I14,0)*$J14</f>
        <v>1.2</v>
      </c>
      <c r="R14" s="18">
        <f>ROUNDUP(R$2*$I14,0)*$J14</f>
        <v>1.2</v>
      </c>
      <c r="S14" s="18">
        <f>ROUNDUP(S$2*$I14,0)*$J14</f>
        <v>1.2</v>
      </c>
      <c r="T14" s="18">
        <f>ROUNDUP(T$2*$I14,0)*$J14</f>
        <v>1.2</v>
      </c>
    </row>
    <row r="15" spans="1:20" x14ac:dyDescent="0.25">
      <c r="A15" s="15" t="s">
        <v>65</v>
      </c>
      <c r="B15" s="15" t="s">
        <v>65</v>
      </c>
      <c r="C15" s="15" t="s">
        <v>66</v>
      </c>
      <c r="D15" s="16" t="s">
        <v>48</v>
      </c>
      <c r="E15" s="17" t="s">
        <v>67</v>
      </c>
      <c r="F15" s="29" t="s">
        <v>68</v>
      </c>
      <c r="G15" s="30" t="s">
        <v>78</v>
      </c>
      <c r="H15" s="15">
        <v>15</v>
      </c>
      <c r="I15" s="15">
        <f>1/15</f>
        <v>6.6666666666666666E-2</v>
      </c>
      <c r="J15" s="20">
        <v>2</v>
      </c>
      <c r="K15" s="18">
        <f>ROUNDUP(K$2*$I15,0)*$J15</f>
        <v>2</v>
      </c>
      <c r="L15" s="18">
        <f>ROUNDUP(L$2*$I15,0)*$J15</f>
        <v>2</v>
      </c>
      <c r="M15" s="18">
        <f>ROUNDUP(M$2*$I15,0)*$J15</f>
        <v>2</v>
      </c>
      <c r="N15" s="18">
        <f>ROUNDUP(N$2*$I15,0)*$J15</f>
        <v>2</v>
      </c>
      <c r="O15" s="18">
        <f>ROUNDUP(O$2*$I15,0)*$J15</f>
        <v>2</v>
      </c>
      <c r="P15" s="18">
        <f>ROUNDUP(P$2*$I15,0)*$J15</f>
        <v>2</v>
      </c>
      <c r="Q15" s="18">
        <f>ROUNDUP(Q$2*$I15,0)*$J15</f>
        <v>2</v>
      </c>
      <c r="R15" s="18">
        <f>ROUNDUP(R$2*$I15,0)*$J15</f>
        <v>2</v>
      </c>
      <c r="S15" s="18">
        <f>ROUNDUP(S$2*$I15,0)*$J15</f>
        <v>2</v>
      </c>
      <c r="T15" s="18">
        <f>ROUNDUP(T$2*$I15,0)*$J15</f>
        <v>2</v>
      </c>
    </row>
    <row r="16" spans="1:20" x14ac:dyDescent="0.25">
      <c r="A16" s="34" t="s">
        <v>80</v>
      </c>
      <c r="B16" s="34" t="s">
        <v>75</v>
      </c>
      <c r="C16" s="34" t="s">
        <v>76</v>
      </c>
      <c r="D16" s="35" t="s">
        <v>48</v>
      </c>
      <c r="E16" s="36" t="s">
        <v>77</v>
      </c>
      <c r="F16" s="37" t="s">
        <v>82</v>
      </c>
      <c r="G16" s="38" t="s">
        <v>79</v>
      </c>
      <c r="H16" s="39" t="s">
        <v>92</v>
      </c>
      <c r="I16" s="34">
        <v>0.04</v>
      </c>
      <c r="J16" s="40">
        <v>6.49</v>
      </c>
      <c r="K16" s="41">
        <f>ROUNDUP(K$2*$I16,0)*$J16</f>
        <v>6.49</v>
      </c>
      <c r="L16" s="41">
        <f>ROUNDUP(L$2*$I16,0)*$J16</f>
        <v>6.49</v>
      </c>
      <c r="M16" s="41">
        <f>ROUNDUP(M$2*$I16,0)*$J16</f>
        <v>6.49</v>
      </c>
      <c r="N16" s="41">
        <f>ROUNDUP(N$2*$I16,0)*$J16</f>
        <v>6.49</v>
      </c>
      <c r="O16" s="41">
        <f>ROUNDUP(O$2*$I16,0)*$J16</f>
        <v>6.49</v>
      </c>
      <c r="P16" s="41">
        <f>ROUNDUP(P$2*$I16,0)*$J16</f>
        <v>6.49</v>
      </c>
      <c r="Q16" s="41">
        <f>ROUNDUP(Q$2*$I16,0)*$J16</f>
        <v>6.49</v>
      </c>
      <c r="R16" s="41">
        <f>ROUNDUP(R$2*$I16,0)*$J16</f>
        <v>6.49</v>
      </c>
      <c r="S16" s="41">
        <f>ROUNDUP(S$2*$I16,0)*$J16</f>
        <v>6.49</v>
      </c>
      <c r="T16" s="41">
        <f>ROUNDUP(T$2*$I16,0)*$J16</f>
        <v>6.49</v>
      </c>
    </row>
    <row r="17" spans="1:20" x14ac:dyDescent="0.25">
      <c r="A17" s="15"/>
      <c r="B17" s="15"/>
      <c r="C17" s="15"/>
      <c r="D17" s="22"/>
      <c r="E17" s="23"/>
      <c r="F17" s="28"/>
      <c r="G17" s="9"/>
      <c r="H17" s="1"/>
      <c r="I17" s="15"/>
      <c r="J17" s="20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0" ht="15" customHeight="1" x14ac:dyDescent="0.25">
      <c r="A18" s="11"/>
      <c r="D18" s="14"/>
      <c r="E18" s="4"/>
      <c r="F18" s="9"/>
      <c r="G18" s="10"/>
      <c r="H18" s="1"/>
      <c r="J18" s="5" t="s">
        <v>86</v>
      </c>
      <c r="K18" s="6">
        <f>SUM(K3:K16)</f>
        <v>113.68</v>
      </c>
      <c r="L18" s="6">
        <f t="shared" ref="L18:T18" si="2">SUM(L3:L16)</f>
        <v>142.35</v>
      </c>
      <c r="M18" s="6">
        <f t="shared" si="2"/>
        <v>171.01999999999998</v>
      </c>
      <c r="N18" s="6">
        <f t="shared" si="2"/>
        <v>199.69</v>
      </c>
      <c r="O18" s="6">
        <f t="shared" si="2"/>
        <v>228.36</v>
      </c>
      <c r="P18" s="6">
        <f t="shared" si="2"/>
        <v>264.73</v>
      </c>
      <c r="Q18" s="6">
        <f t="shared" si="2"/>
        <v>293.40000000000003</v>
      </c>
      <c r="R18" s="6">
        <f t="shared" si="2"/>
        <v>322.07</v>
      </c>
      <c r="S18" s="6">
        <f t="shared" si="2"/>
        <v>350.74</v>
      </c>
      <c r="T18" s="6">
        <f t="shared" si="2"/>
        <v>379.40999999999997</v>
      </c>
    </row>
    <row r="19" spans="1:20" x14ac:dyDescent="0.25">
      <c r="J19" s="7" t="s">
        <v>87</v>
      </c>
      <c r="K19" s="8">
        <f>K18/K2</f>
        <v>113.68</v>
      </c>
      <c r="L19" s="8">
        <f>L18/L2</f>
        <v>71.174999999999997</v>
      </c>
      <c r="M19" s="8">
        <f>M18/M2</f>
        <v>57.006666666666661</v>
      </c>
      <c r="N19" s="8">
        <f>N18/N2</f>
        <v>49.922499999999999</v>
      </c>
      <c r="O19" s="8">
        <f>O18/O2</f>
        <v>45.672000000000004</v>
      </c>
      <c r="P19" s="8">
        <f>P18/P2</f>
        <v>44.12166666666667</v>
      </c>
      <c r="Q19" s="8">
        <f>Q18/Q2</f>
        <v>41.914285714285718</v>
      </c>
      <c r="R19" s="8">
        <f>R18/R2</f>
        <v>40.258749999999999</v>
      </c>
      <c r="S19" s="8">
        <f>S18/S2</f>
        <v>38.971111111111114</v>
      </c>
      <c r="T19" s="8">
        <f>T18/T2</f>
        <v>37.940999999999995</v>
      </c>
    </row>
    <row r="20" spans="1:20" ht="15.75" customHeight="1" x14ac:dyDescent="0.25">
      <c r="N20" s="24"/>
    </row>
    <row r="21" spans="1:20" x14ac:dyDescent="0.25">
      <c r="N21" s="24"/>
    </row>
    <row r="22" spans="1:20" x14ac:dyDescent="0.25">
      <c r="N22" s="24"/>
    </row>
    <row r="23" spans="1:20" x14ac:dyDescent="0.25"/>
    <row r="24" spans="1:20" x14ac:dyDescent="0.25"/>
    <row r="25" spans="1:20" ht="15.75" customHeight="1" x14ac:dyDescent="0.25">
      <c r="N25" s="24"/>
    </row>
    <row r="26" spans="1:20" x14ac:dyDescent="0.25">
      <c r="J26" s="25"/>
      <c r="K26" s="26"/>
      <c r="L26" s="26"/>
      <c r="M26" s="26"/>
      <c r="N26" s="27"/>
      <c r="O26" s="26"/>
    </row>
    <row r="27" spans="1:20" x14ac:dyDescent="0.25"/>
    <row r="29" spans="1:20" x14ac:dyDescent="0.25"/>
    <row r="30" spans="1:20" x14ac:dyDescent="0.25"/>
    <row r="31" spans="1:20" x14ac:dyDescent="0.25"/>
    <row r="34" x14ac:dyDescent="0.25"/>
    <row r="35" x14ac:dyDescent="0.25"/>
  </sheetData>
  <mergeCells count="11">
    <mergeCell ref="I1:I2"/>
    <mergeCell ref="J1:J2"/>
    <mergeCell ref="K1:T1"/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ef="E4" r:id="rId1" xr:uid="{1B273BFC-CAB2-4651-8FAB-A31CB7B1E82B}"/>
    <hyperlink ref="E5" r:id="rId2" xr:uid="{B71C2048-924C-4B90-99BF-7D22ED8468DE}"/>
    <hyperlink ref="E8" r:id="rId3" xr:uid="{8FABC7A0-BBE5-40D1-8A60-B3BA34377D0F}"/>
    <hyperlink ref="E7" r:id="rId4" xr:uid="{16A6823C-C043-4E14-81B3-C6B7C9288BA3}"/>
    <hyperlink ref="E15" r:id="rId5" xr:uid="{4A7F1859-DDCE-42A7-B2C5-68CCF8A5F8C1}"/>
    <hyperlink ref="E10" r:id="rId6" xr:uid="{488EB41F-AD48-4A53-B235-B42F15DC99EA}"/>
    <hyperlink ref="E11" r:id="rId7" xr:uid="{6097C0BF-4F94-4115-BC15-EDA88E1ADDA7}"/>
    <hyperlink ref="E3" r:id="rId8" xr:uid="{B68DF7F0-245F-4262-8850-D320B20FB185}"/>
    <hyperlink ref="E6" r:id="rId9" xr:uid="{840266CD-356B-4E36-AB90-6B7B5244ABC8}"/>
    <hyperlink ref="E9" r:id="rId10" xr:uid="{DEE11139-22AB-4C6F-BFE1-49AF043553AC}"/>
    <hyperlink ref="E13" r:id="rId11" xr:uid="{3C87AD8C-5B68-47E8-A670-63729EB1163E}"/>
    <hyperlink ref="E12" r:id="rId12" xr:uid="{3E47A320-BF85-411D-BD47-4CA326875E63}"/>
    <hyperlink ref="E16" r:id="rId13" xr:uid="{334BA369-EEA2-44E8-9412-B78030317753}"/>
    <hyperlink ref="E14" r:id="rId14" xr:uid="{9E5B93B6-FE78-491D-81D7-8A0FA527D21B}"/>
  </hyperlinks>
  <pageMargins left="0.7" right="0.7" top="0.75" bottom="0.75" header="0.3" footer="0.3"/>
  <pageSetup paperSize="9" orientation="portrait" horizontalDpi="1200" verticalDpi="120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Dana Turner</cp:lastModifiedBy>
  <cp:revision/>
  <dcterms:created xsi:type="dcterms:W3CDTF">2022-07-15T12:30:40Z</dcterms:created>
  <dcterms:modified xsi:type="dcterms:W3CDTF">2026-04-22T15:05:04Z</dcterms:modified>
  <cp:category/>
  <cp:contentStatus/>
</cp:coreProperties>
</file>